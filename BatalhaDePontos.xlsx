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DC5FAF72-EF45-42CF-8FB5-692A1C0BAF3E}" xr6:coauthVersionLast="47" xr6:coauthVersionMax="47" xr10:uidLastSave="{00000000-0000-0000-0000-000000000000}"/>
  <bookViews>
    <workbookView xWindow="-108" yWindow="-108" windowWidth="23256" windowHeight="12456" xr2:uid="{9975B780-11C7-4C24-8927-6C524ACD7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3" i="1" l="1"/>
  <c r="E72" i="1"/>
  <c r="F72" i="1" s="1"/>
  <c r="E71" i="1"/>
  <c r="F71" i="1" s="1"/>
  <c r="E70" i="1"/>
  <c r="E69" i="1"/>
  <c r="E68" i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E60" i="1"/>
  <c r="E59" i="1"/>
  <c r="F59" i="1" s="1"/>
  <c r="E58" i="1"/>
  <c r="F58" i="1" s="1"/>
  <c r="E57" i="1"/>
  <c r="F57" i="1" s="1"/>
  <c r="L1" i="1" a="1"/>
  <c r="I1" i="1"/>
  <c r="T1" i="1" a="1"/>
  <c r="T1" i="1" s="1"/>
  <c r="L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<sst xmlns="http://schemas.openxmlformats.org/spreadsheetml/2006/main" count="152" uniqueCount="54">
  <si>
    <t>Amanda Silva da Mata</t>
  </si>
  <si>
    <t>Arthur Caram Fiorese Herrada</t>
  </si>
  <si>
    <t>Beatriz Mantovani da Cruz</t>
  </si>
  <si>
    <t>Bruce Li Yan Ting</t>
  </si>
  <si>
    <t>Bruno Carreiro dos Santos</t>
  </si>
  <si>
    <t>Daniel Graciano dos Santos Ferreira</t>
  </si>
  <si>
    <t>Daniel Roberto Ribeiro de Figueiredo</t>
  </si>
  <si>
    <t>Eduardo Bechara Medeiros Craveiro</t>
  </si>
  <si>
    <t>Felipe Kenji Takata</t>
  </si>
  <si>
    <t>Felipe Rabelo</t>
  </si>
  <si>
    <t>Felipe Ricardo Moreira Aguiar</t>
  </si>
  <si>
    <t>Felipe Rorato Costa</t>
  </si>
  <si>
    <t>Felipe Rossano Pedrol</t>
  </si>
  <si>
    <t>Felipi Bandeira de Godoy</t>
  </si>
  <si>
    <t>Gabriel Ferreira Flausino</t>
  </si>
  <si>
    <t>Giovanna Andrade Parejas</t>
  </si>
  <si>
    <t>Gustavo Ducatti Bugelli</t>
  </si>
  <si>
    <t>Gustavo Ferreira Silva</t>
  </si>
  <si>
    <t>Gustavo Ferreira Tavares</t>
  </si>
  <si>
    <t>Gustavo Gaviolli Romero</t>
  </si>
  <si>
    <t>Gustavo Moita de Lima</t>
  </si>
  <si>
    <t>Jecky Cossio</t>
  </si>
  <si>
    <t>Joaquim Gaspardo Souza Moura</t>
  </si>
  <si>
    <t>Kelso Oliveira do Amaral Sobrinho</t>
  </si>
  <si>
    <t>Laura Cardin Mirilli</t>
  </si>
  <si>
    <t>Laura Sampaio Neves</t>
  </si>
  <si>
    <t>Leonardo Ferreira Barbosa</t>
  </si>
  <si>
    <t>Leonardo Gomes Gonçalves</t>
  </si>
  <si>
    <t>Leonardo Porto Sodre</t>
  </si>
  <si>
    <t>Matheus Medeiros da Cunha</t>
  </si>
  <si>
    <t>Matheus Pereira de Oliveira</t>
  </si>
  <si>
    <t>Matheus Sequeira Franco da Silva</t>
  </si>
  <si>
    <t>Ricardo Salmerón Paulino de Souza</t>
  </si>
  <si>
    <t>Extra</t>
  </si>
  <si>
    <t>Proporcional</t>
  </si>
  <si>
    <t>Com os 20 pontos se estiver na lista</t>
  </si>
  <si>
    <t>ARTHUR CARAM FIORESE HERRADA</t>
  </si>
  <si>
    <t>DANIEL ROBERTO RIBEIRO DE FIGUEIREDO</t>
  </si>
  <si>
    <t>FELIPE KENJI TAKATA</t>
  </si>
  <si>
    <t>FELIPE RICARDO MOREIRA AGUIAR</t>
  </si>
  <si>
    <t>FELIPE RORATO COSTA</t>
  </si>
  <si>
    <t>FELIPE ROSSANO PEDROL</t>
  </si>
  <si>
    <t>FELIPI BANDEIRA DE GODOY</t>
  </si>
  <si>
    <t>GABRIEL FERREIRA FLAUSINO</t>
  </si>
  <si>
    <t>GIOVANNA ANDRADE PAREJAS</t>
  </si>
  <si>
    <t>GUSTAVO FERREIRA SILVA</t>
  </si>
  <si>
    <t>JOAQUIM GASPARDO SOUZA MOURA</t>
  </si>
  <si>
    <t>LEONARDO FERREIRA BARBOSA</t>
  </si>
  <si>
    <t>LEONARDO GOMES GONÇALVES</t>
  </si>
  <si>
    <t>LEONARDO PORTO SODRE</t>
  </si>
  <si>
    <t>MATHEUS MEDEIROS DA CUNHA</t>
  </si>
  <si>
    <t>MATHEUS PEREIRA DE OLIVEIRA</t>
  </si>
  <si>
    <t>MATHEUS SEQUEIRA FRANCO DA SILVA</t>
  </si>
  <si>
    <t>Notas CP3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</si>
</sst>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i/>
      <sz val="8"/>
      <color rgb="FF000000"/>
      <name val="Verdana"/>
      <family val="2"/>
    </font>
    <font>
      <b/>
      <i/>
      <sz val="8"/>
      <name val="Verdana"/>
      <family val="2"/>
    </font>
    <font>
      <b/>
      <i/>
      <sz val="11"/>
      <color theme="1"/>
      <name val="Calibri"/>
      <family val="2"/>
      <scheme val="minor"/>
    </font>
    <font>
      <b/>
      <i/>
      <sz val="8"/>
      <color rgb="FFFFFF00"/>
      <name val="Verdana"/>
      <family val="2"/>
    </font>
    <font>
      <b/>
      <i/>
      <sz val="8"/>
      <color rgb="FFFF0000"/>
      <name val="Verdana"/>
      <family val="2"/>
    </font>
    <font>
      <b/>
      <i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0" fillId="4" borderId="0" xfId="0" applyFill="1"/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0" fillId="5" borderId="0" xfId="0" applyFill="1"/>
    <xf numFmtId="0" fontId="1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0" fillId="6" borderId="0" xfId="0" applyFill="1"/>
    <xf numFmtId="0" fontId="1" fillId="7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wrapText="1"/>
    </xf>
    <xf numFmtId="0" fontId="0" fillId="7" borderId="0" xfId="0" applyFill="1"/>
    <xf numFmtId="0" fontId="1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wrapText="1"/>
    </xf>
    <xf numFmtId="0" fontId="0" fillId="8" borderId="0" xfId="0" applyFill="1"/>
    <xf numFmtId="0" fontId="1" fillId="9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wrapText="1"/>
    </xf>
    <xf numFmtId="0" fontId="0" fillId="9" borderId="0" xfId="0" applyFill="1"/>
    <xf numFmtId="0" fontId="1" fillId="10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wrapText="1"/>
    </xf>
    <xf numFmtId="0" fontId="0" fillId="10" borderId="0" xfId="0" applyFill="1"/>
    <xf numFmtId="0" fontId="1" fillId="11" borderId="1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wrapText="1"/>
    </xf>
    <xf numFmtId="0" fontId="0" fillId="11" borderId="0" xfId="0" applyFill="1"/>
    <xf numFmtId="0" fontId="1" fillId="12" borderId="1" xfId="0" applyFont="1" applyFill="1" applyBorder="1" applyAlignment="1">
      <alignment horizontal="center" wrapText="1"/>
    </xf>
    <xf numFmtId="0" fontId="1" fillId="12" borderId="1" xfId="0" applyFont="1" applyFill="1" applyBorder="1" applyAlignment="1">
      <alignment wrapText="1"/>
    </xf>
    <xf numFmtId="0" fontId="0" fillId="12" borderId="0" xfId="0" applyFill="1"/>
    <xf numFmtId="0" fontId="2" fillId="10" borderId="1" xfId="0" applyFont="1" applyFill="1" applyBorder="1" applyAlignment="1">
      <alignment horizontal="center" wrapText="1"/>
    </xf>
    <xf numFmtId="0" fontId="3" fillId="12" borderId="1" xfId="0" applyFont="1" applyFill="1" applyBorder="1" applyAlignment="1">
      <alignment wrapText="1"/>
    </xf>
    <xf numFmtId="0" fontId="4" fillId="6" borderId="0" xfId="0" applyFont="1" applyFill="1"/>
    <xf numFmtId="0" fontId="5" fillId="4" borderId="1" xfId="0" applyFont="1" applyFill="1" applyBorder="1" applyAlignment="1">
      <alignment wrapText="1"/>
    </xf>
    <xf numFmtId="0" fontId="6" fillId="9" borderId="1" xfId="0" applyFont="1" applyFill="1" applyBorder="1" applyAlignment="1">
      <alignment wrapText="1"/>
    </xf>
    <xf numFmtId="0" fontId="6" fillId="7" borderId="1" xfId="0" applyFont="1" applyFill="1" applyBorder="1" applyAlignment="1">
      <alignment wrapText="1"/>
    </xf>
    <xf numFmtId="0" fontId="7" fillId="4" borderId="0" xfId="0" applyFont="1" applyFill="1"/>
    <xf numFmtId="0" fontId="6" fillId="10" borderId="1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7" fillId="7" borderId="0" xfId="0" applyFont="1" applyFill="1"/>
    <xf numFmtId="0" fontId="6" fillId="8" borderId="1" xfId="0" applyFont="1" applyFill="1" applyBorder="1" applyAlignment="1">
      <alignment wrapText="1"/>
    </xf>
    <xf numFmtId="0" fontId="6" fillId="11" borderId="1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7" fillId="8" borderId="0" xfId="0" applyFont="1" applyFill="1"/>
    <xf numFmtId="0" fontId="4" fillId="12" borderId="0" xfId="0" applyFont="1" applyFill="1"/>
    <xf numFmtId="0" fontId="7" fillId="5" borderId="0" xfId="0" applyFont="1" applyFill="1"/>
    <xf numFmtId="0" fontId="7" fillId="10" borderId="0" xfId="0" applyFont="1" applyFill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13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2A73-C7D2-422C-A13B-BD8AB82A062C}">
  <dimension ref="A1:T73"/>
  <sheetViews>
    <sheetView tabSelected="1" topLeftCell="A49" zoomScale="115" zoomScaleNormal="115" workbookViewId="0">
      <selection activeCell="F57" sqref="F57:F73"/>
    </sheetView>
  </sheetViews>
  <sheetFormatPr defaultRowHeight="14.4" x14ac:dyDescent="0.3"/>
  <cols>
    <col min="3" max="3" width="37.6640625" customWidth="1"/>
    <col min="7" max="7" width="37.109375" customWidth="1"/>
    <col min="20" max="20" width="34.6640625" bestFit="1" customWidth="1"/>
  </cols>
  <sheetData>
    <row r="1" spans="1:20" x14ac:dyDescent="0.3">
      <c r="A1">
        <v>1</v>
      </c>
      <c r="B1" s="14">
        <v>572585</v>
      </c>
      <c r="C1" s="15" t="s">
        <v>0</v>
      </c>
      <c r="D1" s="16"/>
      <c r="E1" s="16"/>
      <c r="F1" s="16"/>
      <c r="G1" s="41" t="s">
        <v>15</v>
      </c>
      <c r="H1">
        <v>1</v>
      </c>
      <c r="I1">
        <f ca="1">RANDBETWEEN(1,16)</f>
        <v>12</v>
      </c>
      <c r="L1" t="e" cm="1" vm="1">
        <f t="array" aca="1" ref="L1" ca="1">_xlfn.SORTBY(C16:C33, _xlfn.RANDARRAY(ROWS(C16:C33)))</f>
        <v>#VALUE!</v>
      </c>
      <c r="T1" t="str" cm="1">
        <f t="array" aca="1" ref="T1:T33" ca="1">_xlfn.SORTBY(C1:C33, _xlfn.RANDARRAY(ROWS(C1:C33)))</f>
        <v>Leonardo Ferreira Barbosa</v>
      </c>
    </row>
    <row r="2" spans="1:20" x14ac:dyDescent="0.3">
      <c r="A2">
        <v>2</v>
      </c>
      <c r="B2" s="6">
        <v>569578</v>
      </c>
      <c r="C2" s="35" t="s">
        <v>1</v>
      </c>
      <c r="D2" s="5"/>
      <c r="E2" s="5"/>
      <c r="F2" s="5"/>
      <c r="G2" s="5" t="s">
        <v>16</v>
      </c>
      <c r="H2">
        <v>2</v>
      </c>
      <c r="L2" t="s">
        <v>0</v>
      </c>
      <c r="T2" t="str">
        <f ca="1"/>
        <v>Arthur Caram Fiorese Herrada</v>
      </c>
    </row>
    <row r="3" spans="1:20" x14ac:dyDescent="0.3">
      <c r="A3">
        <v>3</v>
      </c>
      <c r="B3" s="8">
        <v>573824</v>
      </c>
      <c r="C3" s="9" t="s">
        <v>2</v>
      </c>
      <c r="D3" s="10"/>
      <c r="E3" s="10"/>
      <c r="F3" s="10"/>
      <c r="G3" s="47" t="s">
        <v>17</v>
      </c>
      <c r="H3">
        <v>3</v>
      </c>
      <c r="L3" t="s">
        <v>10</v>
      </c>
      <c r="T3" t="str">
        <f ca="1"/>
        <v>Leonardo Gomes Gonçalves</v>
      </c>
    </row>
    <row r="4" spans="1:20" x14ac:dyDescent="0.3">
      <c r="A4">
        <v>4</v>
      </c>
      <c r="B4" s="17">
        <v>569168</v>
      </c>
      <c r="C4" s="18" t="s">
        <v>3</v>
      </c>
      <c r="D4" s="19"/>
      <c r="E4" s="19"/>
      <c r="F4" s="19"/>
      <c r="G4" s="45" t="s">
        <v>18</v>
      </c>
      <c r="H4">
        <v>4</v>
      </c>
      <c r="L4" t="s">
        <v>3</v>
      </c>
      <c r="T4" t="str">
        <f ca="1"/>
        <v>Laura Cardin Mirilli</v>
      </c>
    </row>
    <row r="5" spans="1:20" x14ac:dyDescent="0.3">
      <c r="A5">
        <v>5</v>
      </c>
      <c r="B5" s="20">
        <v>569423</v>
      </c>
      <c r="C5" s="36" t="s">
        <v>4</v>
      </c>
      <c r="D5" s="22"/>
      <c r="E5" s="22"/>
      <c r="F5" s="22"/>
      <c r="G5" s="22" t="s">
        <v>19</v>
      </c>
      <c r="H5">
        <v>5</v>
      </c>
      <c r="L5" t="s">
        <v>12</v>
      </c>
      <c r="T5" t="str">
        <f ca="1"/>
        <v>Felipe Ricardo Moreira Aguiar</v>
      </c>
    </row>
    <row r="6" spans="1:20" x14ac:dyDescent="0.3">
      <c r="A6">
        <v>6</v>
      </c>
      <c r="B6" s="23">
        <v>568886</v>
      </c>
      <c r="C6" s="24" t="s">
        <v>5</v>
      </c>
      <c r="D6" s="25"/>
      <c r="E6" s="25"/>
      <c r="F6" s="25"/>
      <c r="G6" s="48" t="s">
        <v>20</v>
      </c>
      <c r="H6">
        <v>6</v>
      </c>
      <c r="L6" t="s">
        <v>13</v>
      </c>
      <c r="T6" t="str">
        <f ca="1"/>
        <v>Felipe Rorato Costa</v>
      </c>
    </row>
    <row r="7" spans="1:20" x14ac:dyDescent="0.3">
      <c r="A7">
        <v>7</v>
      </c>
      <c r="B7" s="14">
        <v>571746</v>
      </c>
      <c r="C7" s="37" t="s">
        <v>6</v>
      </c>
      <c r="D7" s="16"/>
      <c r="E7" s="16"/>
      <c r="F7" s="16"/>
      <c r="G7" s="16" t="s">
        <v>21</v>
      </c>
      <c r="H7">
        <v>7</v>
      </c>
      <c r="L7" t="s">
        <v>14</v>
      </c>
      <c r="T7" t="str">
        <f ca="1"/>
        <v>Bruno Carreiro dos Santos</v>
      </c>
    </row>
    <row r="8" spans="1:20" x14ac:dyDescent="0.3">
      <c r="A8">
        <v>8</v>
      </c>
      <c r="B8" s="6">
        <v>571081</v>
      </c>
      <c r="C8" s="7" t="s">
        <v>7</v>
      </c>
      <c r="D8" s="5"/>
      <c r="E8" s="5"/>
      <c r="F8" s="5"/>
      <c r="G8" s="38" t="s">
        <v>22</v>
      </c>
      <c r="H8">
        <v>2</v>
      </c>
      <c r="L8" t="s">
        <v>9</v>
      </c>
      <c r="T8" t="str">
        <f ca="1"/>
        <v>Felipi Bandeira de Godoy</v>
      </c>
    </row>
    <row r="9" spans="1:20" x14ac:dyDescent="0.3">
      <c r="A9">
        <v>9</v>
      </c>
      <c r="B9" s="32">
        <v>568739</v>
      </c>
      <c r="C9" s="39" t="s">
        <v>8</v>
      </c>
      <c r="D9" s="25"/>
      <c r="E9" s="25"/>
      <c r="F9" s="25"/>
      <c r="G9" s="25" t="s">
        <v>23</v>
      </c>
      <c r="H9">
        <v>6</v>
      </c>
      <c r="L9" t="s">
        <v>4</v>
      </c>
      <c r="T9" t="str">
        <f ca="1"/>
        <v>Matheus Pereira de Oliveira</v>
      </c>
    </row>
    <row r="10" spans="1:20" x14ac:dyDescent="0.3">
      <c r="A10">
        <v>10</v>
      </c>
      <c r="B10" s="11">
        <v>570340</v>
      </c>
      <c r="C10" s="40" t="s">
        <v>9</v>
      </c>
      <c r="D10" s="13"/>
      <c r="E10" s="13"/>
      <c r="F10" s="13"/>
      <c r="G10" s="13" t="s">
        <v>24</v>
      </c>
      <c r="H10">
        <v>8</v>
      </c>
      <c r="L10" t="s">
        <v>15</v>
      </c>
      <c r="T10" t="str">
        <f ca="1"/>
        <v>Leonardo Porto Sodre</v>
      </c>
    </row>
    <row r="11" spans="1:20" x14ac:dyDescent="0.3">
      <c r="A11">
        <v>11</v>
      </c>
      <c r="B11" s="20">
        <v>573410</v>
      </c>
      <c r="C11" s="21" t="s">
        <v>10</v>
      </c>
      <c r="D11" s="22"/>
      <c r="E11" s="22"/>
      <c r="F11" s="22"/>
      <c r="G11" s="22" t="s">
        <v>25</v>
      </c>
      <c r="H11">
        <v>5</v>
      </c>
      <c r="L11" t="s">
        <v>6</v>
      </c>
      <c r="T11" t="str">
        <f ca="1"/>
        <v>Beatriz Mantovani da Cruz</v>
      </c>
    </row>
    <row r="12" spans="1:20" x14ac:dyDescent="0.3">
      <c r="A12">
        <v>12</v>
      </c>
      <c r="B12" s="17">
        <v>570419</v>
      </c>
      <c r="C12" s="42" t="s">
        <v>11</v>
      </c>
      <c r="D12" s="19"/>
      <c r="E12" s="19"/>
      <c r="F12" s="19"/>
      <c r="G12" s="19" t="s">
        <v>26</v>
      </c>
      <c r="H12">
        <v>4</v>
      </c>
      <c r="L12" t="s">
        <v>7</v>
      </c>
      <c r="T12" t="str">
        <f ca="1"/>
        <v>Gabriel Ferreira Flausino</v>
      </c>
    </row>
    <row r="13" spans="1:20" x14ac:dyDescent="0.3">
      <c r="A13">
        <v>13</v>
      </c>
      <c r="B13" s="26">
        <v>569631</v>
      </c>
      <c r="C13" s="43" t="s">
        <v>12</v>
      </c>
      <c r="D13" s="28"/>
      <c r="E13" s="28"/>
      <c r="F13" s="28"/>
      <c r="G13" s="28" t="s">
        <v>27</v>
      </c>
      <c r="H13">
        <v>8</v>
      </c>
      <c r="L13" t="s">
        <v>2</v>
      </c>
      <c r="T13" t="str">
        <f ca="1"/>
        <v>Gustavo Ducatti Bugelli</v>
      </c>
    </row>
    <row r="14" spans="1:20" x14ac:dyDescent="0.3">
      <c r="A14">
        <v>14</v>
      </c>
      <c r="B14" s="8">
        <v>573741</v>
      </c>
      <c r="C14" s="44" t="s">
        <v>13</v>
      </c>
      <c r="D14" s="10"/>
      <c r="E14" s="10"/>
      <c r="F14" s="10"/>
      <c r="G14" s="10" t="s">
        <v>28</v>
      </c>
      <c r="H14">
        <v>3</v>
      </c>
      <c r="L14" t="s">
        <v>11</v>
      </c>
      <c r="T14" t="str">
        <f ca="1"/>
        <v>Gustavo Moita de Lima</v>
      </c>
    </row>
    <row r="15" spans="1:20" x14ac:dyDescent="0.3">
      <c r="A15">
        <v>15</v>
      </c>
      <c r="B15" s="11">
        <v>572486</v>
      </c>
      <c r="C15" s="12" t="s">
        <v>14</v>
      </c>
      <c r="D15" s="13"/>
      <c r="E15" s="13"/>
      <c r="F15" s="13"/>
      <c r="G15" s="34" t="s">
        <v>29</v>
      </c>
      <c r="H15">
        <v>8</v>
      </c>
      <c r="L15" t="s">
        <v>8</v>
      </c>
      <c r="T15" t="str">
        <f ca="1"/>
        <v>Amanda Silva da Mata</v>
      </c>
    </row>
    <row r="16" spans="1:20" x14ac:dyDescent="0.3">
      <c r="A16">
        <v>16</v>
      </c>
      <c r="B16" s="29">
        <v>569041</v>
      </c>
      <c r="C16" s="30" t="s">
        <v>15</v>
      </c>
      <c r="D16" s="31"/>
      <c r="E16" s="31"/>
      <c r="F16" s="31"/>
      <c r="G16" s="46" t="s">
        <v>30</v>
      </c>
      <c r="H16" t="s">
        <v>33</v>
      </c>
      <c r="L16" t="s">
        <v>5</v>
      </c>
      <c r="T16" t="str">
        <f ca="1"/>
        <v>Laura Sampaio Neves</v>
      </c>
    </row>
    <row r="17" spans="1:20" x14ac:dyDescent="0.3">
      <c r="A17">
        <v>17</v>
      </c>
      <c r="B17" s="26">
        <v>570932</v>
      </c>
      <c r="C17" s="27" t="s">
        <v>16</v>
      </c>
      <c r="D17" s="28"/>
      <c r="E17" s="28"/>
      <c r="F17" s="28"/>
      <c r="G17" s="28" t="s">
        <v>31</v>
      </c>
      <c r="H17">
        <v>8</v>
      </c>
      <c r="T17" t="str">
        <f ca="1"/>
        <v>Gustavo Gaviolli Romero</v>
      </c>
    </row>
    <row r="18" spans="1:20" x14ac:dyDescent="0.3">
      <c r="A18">
        <v>18</v>
      </c>
      <c r="B18" s="29">
        <v>571675</v>
      </c>
      <c r="C18" s="33" t="s">
        <v>17</v>
      </c>
      <c r="D18" s="31"/>
      <c r="E18" s="31"/>
      <c r="F18" s="31"/>
      <c r="G18" s="31" t="s">
        <v>32</v>
      </c>
      <c r="H18" t="s">
        <v>33</v>
      </c>
      <c r="T18" t="str">
        <f ca="1"/>
        <v>Gustavo Ferreira Silva</v>
      </c>
    </row>
    <row r="19" spans="1:20" x14ac:dyDescent="0.3">
      <c r="A19">
        <v>19</v>
      </c>
      <c r="B19" s="3">
        <v>569928</v>
      </c>
      <c r="C19" s="4" t="s">
        <v>18</v>
      </c>
      <c r="T19" t="str">
        <f ca="1"/>
        <v>Matheus Medeiros da Cunha</v>
      </c>
    </row>
    <row r="20" spans="1:20" x14ac:dyDescent="0.3">
      <c r="A20">
        <v>20</v>
      </c>
      <c r="B20" s="1">
        <v>571271</v>
      </c>
      <c r="C20" s="2" t="s">
        <v>19</v>
      </c>
      <c r="T20" t="str">
        <f ca="1"/>
        <v>Daniel Roberto Ribeiro de Figueiredo</v>
      </c>
    </row>
    <row r="21" spans="1:20" x14ac:dyDescent="0.3">
      <c r="A21">
        <v>21</v>
      </c>
      <c r="B21" s="3">
        <v>569180</v>
      </c>
      <c r="C21" s="4" t="s">
        <v>20</v>
      </c>
      <c r="T21" t="str">
        <f ca="1"/>
        <v>Jecky Cossio</v>
      </c>
    </row>
    <row r="22" spans="1:20" x14ac:dyDescent="0.3">
      <c r="A22">
        <v>22</v>
      </c>
      <c r="B22" s="1">
        <v>572226</v>
      </c>
      <c r="C22" s="2" t="s">
        <v>21</v>
      </c>
      <c r="T22" t="str">
        <f ca="1"/>
        <v>Ricardo Salmerón Paulino de Souza</v>
      </c>
    </row>
    <row r="23" spans="1:20" x14ac:dyDescent="0.3">
      <c r="A23">
        <v>23</v>
      </c>
      <c r="B23" s="3">
        <v>572208</v>
      </c>
      <c r="C23" s="4" t="s">
        <v>22</v>
      </c>
      <c r="T23" t="str">
        <f ca="1"/>
        <v>Giovanna Andrade Parejas</v>
      </c>
    </row>
    <row r="24" spans="1:20" x14ac:dyDescent="0.3">
      <c r="A24">
        <v>24</v>
      </c>
      <c r="B24" s="1">
        <v>573719</v>
      </c>
      <c r="C24" s="2" t="s">
        <v>23</v>
      </c>
      <c r="T24" t="str">
        <f ca="1"/>
        <v>Felipe Rabelo</v>
      </c>
    </row>
    <row r="25" spans="1:20" x14ac:dyDescent="0.3">
      <c r="A25">
        <v>25</v>
      </c>
      <c r="B25" s="3">
        <v>570841</v>
      </c>
      <c r="C25" s="4" t="s">
        <v>24</v>
      </c>
      <c r="T25" t="str">
        <f ca="1"/>
        <v>Gustavo Ferreira Tavares</v>
      </c>
    </row>
    <row r="26" spans="1:20" x14ac:dyDescent="0.3">
      <c r="A26">
        <v>26</v>
      </c>
      <c r="B26" s="1">
        <v>570802</v>
      </c>
      <c r="C26" s="2" t="s">
        <v>25</v>
      </c>
      <c r="T26" t="str">
        <f ca="1"/>
        <v>Daniel Graciano dos Santos Ferreira</v>
      </c>
    </row>
    <row r="27" spans="1:20" x14ac:dyDescent="0.3">
      <c r="A27">
        <v>27</v>
      </c>
      <c r="B27" s="3">
        <v>571311</v>
      </c>
      <c r="C27" s="4" t="s">
        <v>26</v>
      </c>
      <c r="T27" t="str">
        <f ca="1"/>
        <v>Joaquim Gaspardo Souza Moura</v>
      </c>
    </row>
    <row r="28" spans="1:20" x14ac:dyDescent="0.3">
      <c r="A28">
        <v>28</v>
      </c>
      <c r="B28" s="1">
        <v>569104</v>
      </c>
      <c r="C28" s="2" t="s">
        <v>27</v>
      </c>
      <c r="T28" t="str">
        <f ca="1"/>
        <v>Felipe Rossano Pedrol</v>
      </c>
    </row>
    <row r="29" spans="1:20" x14ac:dyDescent="0.3">
      <c r="A29">
        <v>29</v>
      </c>
      <c r="B29" s="3">
        <v>569388</v>
      </c>
      <c r="C29" s="4" t="s">
        <v>28</v>
      </c>
      <c r="T29" t="str">
        <f ca="1"/>
        <v>Kelso Oliveira do Amaral Sobrinho</v>
      </c>
    </row>
    <row r="30" spans="1:20" x14ac:dyDescent="0.3">
      <c r="A30">
        <v>30</v>
      </c>
      <c r="B30" s="1">
        <v>572780</v>
      </c>
      <c r="C30" s="2" t="s">
        <v>29</v>
      </c>
      <c r="T30" t="str">
        <f ca="1"/>
        <v>Bruce Li Yan Ting</v>
      </c>
    </row>
    <row r="31" spans="1:20" x14ac:dyDescent="0.3">
      <c r="A31">
        <v>31</v>
      </c>
      <c r="B31" s="3">
        <v>570470</v>
      </c>
      <c r="C31" s="4" t="s">
        <v>30</v>
      </c>
      <c r="T31" t="str">
        <f ca="1"/>
        <v>Felipe Kenji Takata</v>
      </c>
    </row>
    <row r="32" spans="1:20" x14ac:dyDescent="0.3">
      <c r="A32">
        <v>32</v>
      </c>
      <c r="B32" s="1">
        <v>571127</v>
      </c>
      <c r="C32" s="2" t="s">
        <v>31</v>
      </c>
      <c r="T32" t="str">
        <f ca="1"/>
        <v>Eduardo Bechara Medeiros Craveiro</v>
      </c>
    </row>
    <row r="33" spans="1:20" x14ac:dyDescent="0.3">
      <c r="A33">
        <v>33</v>
      </c>
      <c r="B33" s="3">
        <v>572916</v>
      </c>
      <c r="C33" s="4" t="s">
        <v>32</v>
      </c>
      <c r="T33" t="str">
        <f ca="1"/>
        <v>Matheus Sequeira Franco da Silva</v>
      </c>
    </row>
    <row r="38" spans="1:20" x14ac:dyDescent="0.3">
      <c r="C38" s="41" t="s">
        <v>15</v>
      </c>
      <c r="G38" s="49" t="s">
        <v>15</v>
      </c>
      <c r="J38" t="s">
        <v>1</v>
      </c>
    </row>
    <row r="39" spans="1:20" x14ac:dyDescent="0.3">
      <c r="C39" s="35" t="s">
        <v>1</v>
      </c>
      <c r="G39" s="50" t="s">
        <v>1</v>
      </c>
      <c r="J39" t="s">
        <v>4</v>
      </c>
    </row>
    <row r="40" spans="1:20" x14ac:dyDescent="0.3">
      <c r="C40" s="47" t="s">
        <v>17</v>
      </c>
      <c r="G40" s="49" t="s">
        <v>17</v>
      </c>
      <c r="J40" t="s">
        <v>6</v>
      </c>
    </row>
    <row r="41" spans="1:20" x14ac:dyDescent="0.3">
      <c r="C41" s="45" t="s">
        <v>18</v>
      </c>
      <c r="G41" s="49" t="s">
        <v>18</v>
      </c>
      <c r="J41" t="s">
        <v>8</v>
      </c>
    </row>
    <row r="42" spans="1:20" x14ac:dyDescent="0.3">
      <c r="C42" s="36" t="s">
        <v>4</v>
      </c>
      <c r="G42" s="50" t="s">
        <v>4</v>
      </c>
      <c r="J42" t="s">
        <v>9</v>
      </c>
    </row>
    <row r="43" spans="1:20" x14ac:dyDescent="0.3">
      <c r="C43" s="37" t="s">
        <v>6</v>
      </c>
      <c r="G43" s="50" t="s">
        <v>6</v>
      </c>
      <c r="J43" t="s">
        <v>11</v>
      </c>
    </row>
    <row r="44" spans="1:20" x14ac:dyDescent="0.3">
      <c r="C44" s="38" t="s">
        <v>22</v>
      </c>
      <c r="G44" s="49" t="s">
        <v>22</v>
      </c>
      <c r="J44" t="s">
        <v>12</v>
      </c>
    </row>
    <row r="45" spans="1:20" x14ac:dyDescent="0.3">
      <c r="C45" s="39" t="s">
        <v>8</v>
      </c>
      <c r="G45" s="50" t="s">
        <v>8</v>
      </c>
      <c r="J45" t="s">
        <v>13</v>
      </c>
    </row>
    <row r="46" spans="1:20" x14ac:dyDescent="0.3">
      <c r="C46" s="40" t="s">
        <v>9</v>
      </c>
      <c r="G46" s="50" t="s">
        <v>9</v>
      </c>
      <c r="J46" t="s">
        <v>15</v>
      </c>
    </row>
    <row r="47" spans="1:20" x14ac:dyDescent="0.3">
      <c r="C47" s="42" t="s">
        <v>11</v>
      </c>
      <c r="G47" s="50" t="s">
        <v>11</v>
      </c>
      <c r="J47" t="s">
        <v>17</v>
      </c>
    </row>
    <row r="48" spans="1:20" x14ac:dyDescent="0.3">
      <c r="C48" s="43" t="s">
        <v>12</v>
      </c>
      <c r="G48" s="50" t="s">
        <v>12</v>
      </c>
      <c r="J48" t="s">
        <v>17</v>
      </c>
    </row>
    <row r="49" spans="3:10" x14ac:dyDescent="0.3">
      <c r="C49" s="44" t="s">
        <v>13</v>
      </c>
      <c r="G49" s="50" t="s">
        <v>13</v>
      </c>
      <c r="J49" t="s">
        <v>18</v>
      </c>
    </row>
    <row r="50" spans="3:10" x14ac:dyDescent="0.3">
      <c r="C50" s="34" t="s">
        <v>29</v>
      </c>
      <c r="G50" s="49" t="s">
        <v>29</v>
      </c>
      <c r="J50" t="s">
        <v>20</v>
      </c>
    </row>
    <row r="51" spans="3:10" x14ac:dyDescent="0.3">
      <c r="C51" s="46" t="s">
        <v>30</v>
      </c>
      <c r="G51" s="49" t="s">
        <v>30</v>
      </c>
      <c r="J51" t="s">
        <v>22</v>
      </c>
    </row>
    <row r="52" spans="3:10" x14ac:dyDescent="0.3">
      <c r="C52" s="33" t="s">
        <v>17</v>
      </c>
      <c r="G52" s="50" t="s">
        <v>17</v>
      </c>
      <c r="J52" t="s">
        <v>29</v>
      </c>
    </row>
    <row r="53" spans="3:10" x14ac:dyDescent="0.3">
      <c r="C53" s="48" t="s">
        <v>20</v>
      </c>
      <c r="G53" s="49" t="s">
        <v>20</v>
      </c>
      <c r="J53" t="s">
        <v>30</v>
      </c>
    </row>
    <row r="56" spans="3:10" x14ac:dyDescent="0.3">
      <c r="C56" t="s">
        <v>53</v>
      </c>
      <c r="E56" t="s">
        <v>34</v>
      </c>
      <c r="F56" t="s">
        <v>35</v>
      </c>
    </row>
    <row r="57" spans="3:10" x14ac:dyDescent="0.3">
      <c r="C57" s="51" t="s">
        <v>36</v>
      </c>
      <c r="D57" s="51">
        <v>100</v>
      </c>
      <c r="E57">
        <f>D57*0.8</f>
        <v>80</v>
      </c>
      <c r="F57">
        <f>E57+20</f>
        <v>100</v>
      </c>
      <c r="H57" t="s">
        <v>1</v>
      </c>
    </row>
    <row r="58" spans="3:10" x14ac:dyDescent="0.3">
      <c r="C58" s="52" t="s">
        <v>37</v>
      </c>
      <c r="D58" s="52">
        <v>90</v>
      </c>
      <c r="E58">
        <f t="shared" ref="E58:F73" si="0">D58*0.8</f>
        <v>72</v>
      </c>
      <c r="F58">
        <f>E58+20</f>
        <v>92</v>
      </c>
      <c r="H58" t="s">
        <v>4</v>
      </c>
    </row>
    <row r="59" spans="3:10" x14ac:dyDescent="0.3">
      <c r="C59" s="51" t="s">
        <v>38</v>
      </c>
      <c r="D59" s="51">
        <v>95</v>
      </c>
      <c r="E59">
        <f t="shared" si="0"/>
        <v>76</v>
      </c>
      <c r="F59">
        <f>E59+20</f>
        <v>96</v>
      </c>
      <c r="H59" t="s">
        <v>6</v>
      </c>
    </row>
    <row r="60" spans="3:10" x14ac:dyDescent="0.3">
      <c r="C60" s="52" t="s">
        <v>39</v>
      </c>
      <c r="D60" s="52">
        <v>80</v>
      </c>
      <c r="E60">
        <f t="shared" si="0"/>
        <v>64</v>
      </c>
      <c r="F60">
        <v>64</v>
      </c>
      <c r="H60" t="s">
        <v>8</v>
      </c>
    </row>
    <row r="61" spans="3:10" x14ac:dyDescent="0.3">
      <c r="C61" s="51" t="s">
        <v>40</v>
      </c>
      <c r="D61" s="51">
        <v>50</v>
      </c>
      <c r="E61">
        <f t="shared" si="0"/>
        <v>40</v>
      </c>
      <c r="F61">
        <v>40</v>
      </c>
      <c r="H61" t="s">
        <v>9</v>
      </c>
    </row>
    <row r="62" spans="3:10" x14ac:dyDescent="0.3">
      <c r="C62" s="52" t="s">
        <v>41</v>
      </c>
      <c r="D62" s="52">
        <v>90</v>
      </c>
      <c r="E62">
        <f t="shared" si="0"/>
        <v>72</v>
      </c>
      <c r="F62">
        <f t="shared" ref="F62:F72" si="1">E62+20</f>
        <v>92</v>
      </c>
      <c r="H62" t="s">
        <v>11</v>
      </c>
    </row>
    <row r="63" spans="3:10" x14ac:dyDescent="0.3">
      <c r="C63" s="51" t="s">
        <v>42</v>
      </c>
      <c r="D63" s="51">
        <v>85</v>
      </c>
      <c r="E63">
        <f t="shared" si="0"/>
        <v>68</v>
      </c>
      <c r="F63">
        <f t="shared" si="1"/>
        <v>88</v>
      </c>
      <c r="H63" t="s">
        <v>12</v>
      </c>
    </row>
    <row r="64" spans="3:10" x14ac:dyDescent="0.3">
      <c r="C64" s="52" t="s">
        <v>43</v>
      </c>
      <c r="D64" s="52">
        <v>95</v>
      </c>
      <c r="E64">
        <f t="shared" si="0"/>
        <v>76</v>
      </c>
      <c r="F64">
        <f t="shared" si="1"/>
        <v>96</v>
      </c>
      <c r="H64" t="s">
        <v>13</v>
      </c>
    </row>
    <row r="65" spans="3:8" x14ac:dyDescent="0.3">
      <c r="C65" s="51" t="s">
        <v>44</v>
      </c>
      <c r="D65" s="51">
        <v>100</v>
      </c>
      <c r="E65">
        <f t="shared" si="0"/>
        <v>80</v>
      </c>
      <c r="F65">
        <f t="shared" si="1"/>
        <v>100</v>
      </c>
      <c r="H65" t="s">
        <v>15</v>
      </c>
    </row>
    <row r="66" spans="3:8" x14ac:dyDescent="0.3">
      <c r="C66" s="52" t="s">
        <v>45</v>
      </c>
      <c r="D66" s="52">
        <v>90</v>
      </c>
      <c r="E66">
        <f t="shared" si="0"/>
        <v>72</v>
      </c>
      <c r="F66">
        <f t="shared" si="1"/>
        <v>92</v>
      </c>
      <c r="H66" t="s">
        <v>17</v>
      </c>
    </row>
    <row r="67" spans="3:8" x14ac:dyDescent="0.3">
      <c r="C67" s="51" t="s">
        <v>46</v>
      </c>
      <c r="D67" s="51">
        <v>100</v>
      </c>
      <c r="E67">
        <f t="shared" si="0"/>
        <v>80</v>
      </c>
      <c r="F67">
        <f t="shared" si="1"/>
        <v>100</v>
      </c>
      <c r="H67" t="s">
        <v>17</v>
      </c>
    </row>
    <row r="68" spans="3:8" x14ac:dyDescent="0.3">
      <c r="C68" s="52" t="s">
        <v>47</v>
      </c>
      <c r="D68" s="52">
        <v>100</v>
      </c>
      <c r="E68">
        <f t="shared" si="0"/>
        <v>80</v>
      </c>
      <c r="F68">
        <v>80</v>
      </c>
      <c r="H68" t="s">
        <v>18</v>
      </c>
    </row>
    <row r="69" spans="3:8" x14ac:dyDescent="0.3">
      <c r="C69" s="51" t="s">
        <v>48</v>
      </c>
      <c r="D69" s="51">
        <v>75</v>
      </c>
      <c r="E69">
        <f t="shared" si="0"/>
        <v>60</v>
      </c>
      <c r="F69">
        <v>60</v>
      </c>
      <c r="H69" t="s">
        <v>20</v>
      </c>
    </row>
    <row r="70" spans="3:8" x14ac:dyDescent="0.3">
      <c r="C70" s="52" t="s">
        <v>49</v>
      </c>
      <c r="D70" s="52">
        <v>70</v>
      </c>
      <c r="E70">
        <f t="shared" si="0"/>
        <v>56</v>
      </c>
      <c r="F70">
        <v>56</v>
      </c>
      <c r="H70" t="s">
        <v>22</v>
      </c>
    </row>
    <row r="71" spans="3:8" x14ac:dyDescent="0.3">
      <c r="C71" s="51" t="s">
        <v>50</v>
      </c>
      <c r="D71" s="51">
        <v>85</v>
      </c>
      <c r="E71">
        <f t="shared" si="0"/>
        <v>68</v>
      </c>
      <c r="F71">
        <f t="shared" si="1"/>
        <v>88</v>
      </c>
      <c r="H71" t="s">
        <v>29</v>
      </c>
    </row>
    <row r="72" spans="3:8" x14ac:dyDescent="0.3">
      <c r="C72" s="52" t="s">
        <v>51</v>
      </c>
      <c r="D72" s="52">
        <v>95</v>
      </c>
      <c r="E72">
        <f t="shared" si="0"/>
        <v>76</v>
      </c>
      <c r="F72">
        <f t="shared" si="1"/>
        <v>96</v>
      </c>
      <c r="H72" t="s">
        <v>30</v>
      </c>
    </row>
    <row r="73" spans="3:8" x14ac:dyDescent="0.3">
      <c r="C73" s="51" t="s">
        <v>52</v>
      </c>
      <c r="D73" s="51">
        <v>80</v>
      </c>
      <c r="E73">
        <f t="shared" si="0"/>
        <v>64</v>
      </c>
      <c r="F73">
        <v>64</v>
      </c>
    </row>
  </sheetData>
  <sortState xmlns:xlrd2="http://schemas.microsoft.com/office/spreadsheetml/2017/richdata2" ref="J38:J53">
    <sortCondition ref="J38:J5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 FIAP</dc:creator>
  <cp:lastModifiedBy>PATRÍCIA MAURA ANGELINI</cp:lastModifiedBy>
  <dcterms:created xsi:type="dcterms:W3CDTF">2026-05-12T13:18:06Z</dcterms:created>
  <dcterms:modified xsi:type="dcterms:W3CDTF">2026-05-20T01:31:22Z</dcterms:modified>
</cp:coreProperties>
</file>